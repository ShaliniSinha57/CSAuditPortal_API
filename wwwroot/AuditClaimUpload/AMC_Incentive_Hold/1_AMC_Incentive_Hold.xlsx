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3794BE2B-7262-4B3E-A6B7-08178C57F1FE}" xr6:coauthVersionLast="47" xr6:coauthVersionMax="47" xr10:uidLastSave="{00000000-0000-0000-0000-000000000000}"/>
  <bookViews>
    <workbookView xWindow="-108" yWindow="-108" windowWidth="23256" windowHeight="12576" xr2:uid="{5824E37F-9990-49B8-90FB-07217D9E78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G5" i="1" l="1"/>
  <c r="CG4" i="1"/>
  <c r="CG3" i="1"/>
  <c r="CG2" i="1"/>
</calcChain>
</file>

<file path=xl/sharedStrings.xml><?xml version="1.0" encoding="utf-8"?>
<sst xmlns="http://schemas.openxmlformats.org/spreadsheetml/2006/main" count="250" uniqueCount="164">
  <si>
    <t>GERP Input Date-YYYYMMDD (Orig)</t>
  </si>
  <si>
    <t>CH CS CODE</t>
  </si>
  <si>
    <t>Ship to Code</t>
  </si>
  <si>
    <t>Ship to Name</t>
  </si>
  <si>
    <t>Product1 Code</t>
  </si>
  <si>
    <t>GSFS Receipt No*</t>
  </si>
  <si>
    <t>Model Suffix Code</t>
  </si>
  <si>
    <t>Serial No</t>
  </si>
  <si>
    <t>Primary Defect Code</t>
  </si>
  <si>
    <t>Primary Repair Code</t>
  </si>
  <si>
    <t>Warranty Flag</t>
  </si>
  <si>
    <t>Subsidiary Warranty Type</t>
  </si>
  <si>
    <t>SVC Status Code (GSFS)</t>
  </si>
  <si>
    <t>SVC Status Code (GERP)</t>
  </si>
  <si>
    <t>SVC Type Code</t>
  </si>
  <si>
    <t>Repair Receipt Timestamp</t>
  </si>
  <si>
    <t>Repair Start Timestamp</t>
  </si>
  <si>
    <t>Repair End Timestamp</t>
  </si>
  <si>
    <t>Repair Pending Input Timestamp</t>
  </si>
  <si>
    <t>Receipt Remark</t>
  </si>
  <si>
    <t>ASC Repair Remark</t>
  </si>
  <si>
    <t>Technical Remark</t>
  </si>
  <si>
    <t>SVC Engineer Code</t>
  </si>
  <si>
    <t>SVC Engineer Name</t>
  </si>
  <si>
    <t>Reclaim GSFS Receipt No</t>
  </si>
  <si>
    <t>Law Invoice No</t>
  </si>
  <si>
    <t>Warranty Extension Card No</t>
  </si>
  <si>
    <t>Manufacturing Date-YYYYMMDD</t>
  </si>
  <si>
    <t>Purchase Date-YYYYMMDD</t>
  </si>
  <si>
    <t>Request Labor Cost Txn Amount</t>
  </si>
  <si>
    <t>Request Other Txn Amount</t>
  </si>
  <si>
    <t>Request Parts Txn Amount</t>
  </si>
  <si>
    <t>Request Total Txn Amount</t>
  </si>
  <si>
    <t>End User Name</t>
  </si>
  <si>
    <t>Phone Number</t>
  </si>
  <si>
    <t>Cellular Number</t>
  </si>
  <si>
    <t>Contact Phone No</t>
  </si>
  <si>
    <t>End User Type</t>
  </si>
  <si>
    <t>Address Line1 Info</t>
  </si>
  <si>
    <t>Address Line2 Info</t>
  </si>
  <si>
    <t>Postal Code</t>
  </si>
  <si>
    <t>Warranty Reject Reason (Multi)</t>
  </si>
  <si>
    <t>Manual Approval Flag</t>
  </si>
  <si>
    <t>Mobile Auth Type Code</t>
  </si>
  <si>
    <t>Approval Labor Cost Txn Amount</t>
  </si>
  <si>
    <t>Approval Visit Txn Amount</t>
  </si>
  <si>
    <t>Approval Other Txn Amount</t>
  </si>
  <si>
    <t>Approval Material Txn Amount</t>
  </si>
  <si>
    <t>Approval Parts Txn Amount</t>
  </si>
  <si>
    <t>Approval Total Txn Amount</t>
  </si>
  <si>
    <t>Parts No1</t>
  </si>
  <si>
    <t>Parts No2</t>
  </si>
  <si>
    <t>Parts No3</t>
  </si>
  <si>
    <t>Parts Desc1</t>
  </si>
  <si>
    <t>Parts Desc2</t>
  </si>
  <si>
    <t>Parts Desc3</t>
  </si>
  <si>
    <t>Attached Flag</t>
  </si>
  <si>
    <t>Approval Confirm No</t>
  </si>
  <si>
    <t>Max Transfer Seq No</t>
  </si>
  <si>
    <t>Parts Use Flag</t>
  </si>
  <si>
    <t>Repair Level Code</t>
  </si>
  <si>
    <t>Transfer Count</t>
  </si>
  <si>
    <t>SVC Receipt Type</t>
  </si>
  <si>
    <t>Receipt Method</t>
  </si>
  <si>
    <t>Repair Pending Reason</t>
  </si>
  <si>
    <t>RTAT</t>
  </si>
  <si>
    <t>Resubmit Count</t>
  </si>
  <si>
    <t>Priority Flag</t>
  </si>
  <si>
    <t>Repair End Date-YYYYMMDD</t>
  </si>
  <si>
    <t>End User Request Date-YYYYMMDD</t>
  </si>
  <si>
    <t>End User Code</t>
  </si>
  <si>
    <t>Standard Labor Cost Txn Amount</t>
  </si>
  <si>
    <t>Standard Other Txn Amount</t>
  </si>
  <si>
    <t>Standard Parts Txn Amount</t>
  </si>
  <si>
    <t>Standard Total Txn Amount</t>
  </si>
  <si>
    <t>SVC Data From Code</t>
  </si>
  <si>
    <t>AMC Form No</t>
  </si>
  <si>
    <t>Ship To Code</t>
  </si>
  <si>
    <t>ASC name</t>
  </si>
  <si>
    <t xml:space="preserve">Branch </t>
  </si>
  <si>
    <t>Engineer Code</t>
  </si>
  <si>
    <t>Engineer Name</t>
  </si>
  <si>
    <t>Basic_T_Amt</t>
  </si>
  <si>
    <t>Incentive Amount</t>
  </si>
  <si>
    <t>Incentive Hold</t>
  </si>
  <si>
    <t xml:space="preserve">Video attachment Adherence status </t>
  </si>
  <si>
    <t>completionDate</t>
  </si>
  <si>
    <t>disposition</t>
  </si>
  <si>
    <t>Data Month</t>
  </si>
  <si>
    <t>Audit Type</t>
  </si>
  <si>
    <t>AHM</t>
  </si>
  <si>
    <t>IN0315950001S</t>
  </si>
  <si>
    <t>DREAMS CARE</t>
  </si>
  <si>
    <t>TV</t>
  </si>
  <si>
    <t>RNP251215069714</t>
  </si>
  <si>
    <t>OLED55C1XTZ.ATR</t>
  </si>
  <si>
    <t>108PLWR209889</t>
  </si>
  <si>
    <t>PSAD</t>
  </si>
  <si>
    <t>ADJI</t>
  </si>
  <si>
    <t>OW</t>
  </si>
  <si>
    <t>O</t>
  </si>
  <si>
    <t>INVC</t>
  </si>
  <si>
    <t>IH</t>
  </si>
  <si>
    <t>[CIC Remark]
DWA    SVC Type - IH  Shop No: 9904043329, Product: TV Sub Category:-55 OLED, Model Number: OLED55C1XTZ.ATR CF Number: 9904043329 Called up/symptom: No Power  Shop Name: TATA CROMA Primary Number: 9825250028 12/15/2025, 10:39:31 AM</t>
  </si>
  <si>
    <t xml:space="preserve">INTERNAL ADJUSTMENT DONE SET WORKING OK </t>
  </si>
  <si>
    <t>ILIN0315950001S_401259</t>
  </si>
  <si>
    <t>ANUJSING MUNNASING CHANDEL</t>
  </si>
  <si>
    <t>W31595/11769</t>
  </si>
  <si>
    <t>General End User</t>
  </si>
  <si>
    <t>GJ0200</t>
  </si>
  <si>
    <t>N</t>
  </si>
  <si>
    <t>L2-L</t>
  </si>
  <si>
    <t>CIC Transfer</t>
  </si>
  <si>
    <t>WhatsApp</t>
  </si>
  <si>
    <t>&lt;NULL&gt;</t>
  </si>
  <si>
    <t>CUP0091269431</t>
  </si>
  <si>
    <t>AR</t>
  </si>
  <si>
    <t>LB293460</t>
  </si>
  <si>
    <t>No attachment</t>
  </si>
  <si>
    <t>20251114</t>
  </si>
  <si>
    <t>AMC Incentive Hold</t>
  </si>
  <si>
    <t>JAB</t>
  </si>
  <si>
    <t>IN0542060001S</t>
  </si>
  <si>
    <t>COOL TOUCH</t>
  </si>
  <si>
    <t>RNP260228052662</t>
  </si>
  <si>
    <t>32LQ645BPTA.ATRQ</t>
  </si>
  <si>
    <t>404TYKX05925</t>
  </si>
  <si>
    <t>[CIC Remark]
DWA  Registered As: - IH  Shop No: 9619796006, Product: TV Sub Category:- 32 TV UHD / FHD / HD, Model Number: 32LQ645BPTA.ATRQ CF Number: 9619796006 Called up/symptom: No Power  Shop Name: SG ELECTRONICS Primary Number: 9131306212 2/28/2026, 3:42:41 PM</t>
  </si>
  <si>
    <t>Internal adjustment done, set made ok.</t>
  </si>
  <si>
    <t>ILIN0542060001S_1126119</t>
  </si>
  <si>
    <t>RUDRA PRATAP SINGH</t>
  </si>
  <si>
    <t>W54206/03841</t>
  </si>
  <si>
    <t>MP0366</t>
  </si>
  <si>
    <t>Repairs done, product  under observation</t>
  </si>
  <si>
    <t>CUP0119699599</t>
  </si>
  <si>
    <t>LA342151</t>
  </si>
  <si>
    <t>COOL TOUCH REFRIZARATION &amp; SERVICE CENTRE</t>
  </si>
  <si>
    <t>ILIN0542060001S_1112155</t>
  </si>
  <si>
    <t>Â NAGENDRA SINGH BAIS</t>
  </si>
  <si>
    <t>Data Audit</t>
  </si>
  <si>
    <t>RNP260311068456</t>
  </si>
  <si>
    <t>32LM560BPTC.ATR</t>
  </si>
  <si>
    <t>306PLSY133750</t>
  </si>
  <si>
    <t>[CIC Remark]
Voice-IB  Call Type: #Customer Insisting for Engineer# Registered As: IH,Warranty Status: In Warranty, Product: TV Sub Category:-32 TV UHD / FHD / HD, Model Number: 32LQ635BPSA,  no CF Number: 9893762883 ,Called up/symptom: Screen and audio not working Postal code       Date &amp; Time3/11/2026, 4:50:09 PM</t>
  </si>
  <si>
    <t xml:space="preserve">  Internal adjustment done, set made ok.</t>
  </si>
  <si>
    <t>ILIN0542060001S_435580</t>
  </si>
  <si>
    <t>VINOD KUMAR JAYSWAL</t>
  </si>
  <si>
    <t>W54206/03865</t>
  </si>
  <si>
    <t>MP0279</t>
  </si>
  <si>
    <t>L2-U</t>
  </si>
  <si>
    <t>Phone</t>
  </si>
  <si>
    <t>CUP0146500861</t>
  </si>
  <si>
    <t>LA342155</t>
  </si>
  <si>
    <t>RNP260217072483</t>
  </si>
  <si>
    <t>209PLJK220252</t>
  </si>
  <si>
    <t>[CIC Remark]
Voice-IB  Call Type: #Customer Insisting for Engineer# Registered As: IH,Warranty Status: Out of Warranty, Product: TV Sub Category:-32 TV UHD / FHD / HD, Model Number: 32LM560BPTC.ATR, Repair Charge Rs.1062/ CF Number: 7898537641 Called up/symptom: Low volume/no sound [Antenna]   Profile Type: No changes in Existing Profile    Date &amp; Time2/17/2026, 3:42:00 PM</t>
  </si>
  <si>
    <t xml:space="preserve"> Internal adjustment done, set made ok.</t>
  </si>
  <si>
    <t>ILIN0542060001S_1112268</t>
  </si>
  <si>
    <t>OM PRAKASH SONI</t>
  </si>
  <si>
    <t>W54206/03903</t>
  </si>
  <si>
    <t>Y</t>
  </si>
  <si>
    <t>CUP0102601123</t>
  </si>
  <si>
    <t>LA342154</t>
  </si>
  <si>
    <t>Only Sr. No. attached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</si>
</sst>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 Light"/>
      <family val="2"/>
    </font>
    <font>
      <b/>
      <sz val="10"/>
      <color theme="0"/>
      <name val="Calibri Light"/>
      <family val="2"/>
    </font>
    <font>
      <b/>
      <sz val="10"/>
      <name val="Calibri Light"/>
      <family val="2"/>
    </font>
    <font>
      <b/>
      <sz val="10"/>
      <color rgb="FFFF0000"/>
      <name val="Calibri Light"/>
      <family val="2"/>
    </font>
    <font>
      <b/>
      <sz val="11"/>
      <name val="Calibri"/>
      <family val="2"/>
    </font>
    <font>
      <b/>
      <sz val="10"/>
      <color rgb="FF000000"/>
      <name val="Calibri Light"/>
      <family val="2"/>
      <scheme val="major"/>
    </font>
    <font>
      <sz val="10"/>
      <color theme="1"/>
      <name val="Calibri"/>
      <family val="2"/>
      <scheme val="minor"/>
    </font>
    <font>
      <sz val="10"/>
      <color theme="1"/>
      <name val="Calibri Light"/>
      <family val="2"/>
    </font>
    <font>
      <sz val="10"/>
      <color rgb="FFFF0000"/>
      <name val="Calibri Light"/>
      <family val="2"/>
    </font>
    <font>
      <sz val="11"/>
      <color theme="1"/>
      <name val="Calibri Light"/>
      <family val="2"/>
    </font>
    <font>
      <b/>
      <sz val="11"/>
      <color theme="1"/>
      <name val="Calibri Light"/>
      <family val="2"/>
    </font>
    <font>
      <sz val="10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2" borderId="1" xfId="1" applyNumberFormat="1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left" vertical="top"/>
    </xf>
    <xf numFmtId="0" fontId="7" fillId="7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22" fontId="9" fillId="0" borderId="1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" fontId="10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11" fillId="0" borderId="1" xfId="0" applyFont="1" applyBorder="1"/>
    <xf numFmtId="22" fontId="11" fillId="0" borderId="1" xfId="0" applyNumberFormat="1" applyFont="1" applyBorder="1"/>
    <xf numFmtId="1" fontId="12" fillId="8" borderId="1" xfId="0" applyNumberFormat="1" applyFont="1" applyFill="1" applyBorder="1" applyAlignment="1">
      <alignment horizontal="right"/>
    </xf>
    <xf numFmtId="17" fontId="8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</cellXfs>
  <cellStyles count="2">
    <cellStyle name="Accent2" xfId="1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9CD5F-6728-44C6-8CAB-5ADE90C53849}">
  <dimension ref="A1:CM6"/>
  <sheetViews>
    <sheetView tabSelected="1" workbookViewId="0">
      <selection activeCell="P2" sqref="P2"/>
    </sheetView>
  </sheetViews>
  <sheetFormatPr defaultRowHeight="14.4" x14ac:dyDescent="0.3"/>
  <cols>
    <col min="16" max="16" width="17.6640625" customWidth="1"/>
    <col min="17" max="17" width="15.77734375" customWidth="1"/>
    <col min="18" max="18" width="15.88671875" customWidth="1"/>
    <col min="19" max="19" width="20.33203125" customWidth="1"/>
  </cols>
  <sheetData>
    <row r="1" spans="1:91" ht="82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2" t="s">
        <v>75</v>
      </c>
      <c r="BY1" s="3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5" t="s">
        <v>82</v>
      </c>
      <c r="CF1" s="5" t="s">
        <v>83</v>
      </c>
      <c r="CG1" s="5" t="s">
        <v>84</v>
      </c>
      <c r="CH1" s="3" t="s">
        <v>85</v>
      </c>
      <c r="CI1" s="6" t="s">
        <v>86</v>
      </c>
      <c r="CJ1" s="6" t="s">
        <v>87</v>
      </c>
      <c r="CK1" s="7" t="s">
        <v>88</v>
      </c>
      <c r="CL1" s="8" t="s">
        <v>89</v>
      </c>
      <c r="CM1" s="9"/>
    </row>
    <row r="2" spans="1:91" x14ac:dyDescent="0.3">
      <c r="A2" s="10">
        <v>20251216</v>
      </c>
      <c r="B2" s="10" t="s">
        <v>90</v>
      </c>
      <c r="C2" s="10" t="s">
        <v>91</v>
      </c>
      <c r="D2" s="10" t="s">
        <v>92</v>
      </c>
      <c r="E2" s="10" t="s">
        <v>93</v>
      </c>
      <c r="F2" s="10" t="s">
        <v>94</v>
      </c>
      <c r="G2" s="10" t="s">
        <v>95</v>
      </c>
      <c r="H2" s="10" t="s">
        <v>96</v>
      </c>
      <c r="I2" s="10" t="s">
        <v>97</v>
      </c>
      <c r="J2" s="10" t="s">
        <v>98</v>
      </c>
      <c r="K2" s="10" t="s">
        <v>99</v>
      </c>
      <c r="L2" s="10" t="s">
        <v>100</v>
      </c>
      <c r="M2" s="10" t="s">
        <v>101</v>
      </c>
      <c r="N2" s="10" t="s">
        <v>101</v>
      </c>
      <c r="O2" s="10" t="s">
        <v>102</v>
      </c>
      <c r="P2" s="11">
        <v>46006.443749999999</v>
      </c>
      <c r="Q2" s="11">
        <v>46007.4375</v>
      </c>
      <c r="R2" s="11">
        <v>46007.458333333336</v>
      </c>
      <c r="S2" s="11"/>
      <c r="T2" s="10" t="s">
        <v>103</v>
      </c>
      <c r="U2" s="10" t="s">
        <v>104</v>
      </c>
      <c r="V2" s="10" t="s">
        <v>104</v>
      </c>
      <c r="W2" s="10" t="s">
        <v>105</v>
      </c>
      <c r="X2" s="10" t="s">
        <v>106</v>
      </c>
      <c r="Y2" s="10"/>
      <c r="Z2" s="10" t="s">
        <v>107</v>
      </c>
      <c r="AA2" s="10"/>
      <c r="AB2" s="10">
        <v>20210801</v>
      </c>
      <c r="AC2" s="10">
        <v>20220104</v>
      </c>
      <c r="AD2" s="10">
        <v>300</v>
      </c>
      <c r="AE2" s="10">
        <v>0</v>
      </c>
      <c r="AF2" s="10">
        <v>0</v>
      </c>
      <c r="AG2" s="10">
        <v>300</v>
      </c>
      <c r="AH2" s="10"/>
      <c r="AI2" s="10"/>
      <c r="AJ2" s="10"/>
      <c r="AK2" s="10">
        <v>9825825767</v>
      </c>
      <c r="AL2" s="10" t="s">
        <v>108</v>
      </c>
      <c r="AM2" s="10"/>
      <c r="AN2" s="10"/>
      <c r="AO2" s="10" t="s">
        <v>109</v>
      </c>
      <c r="AP2" s="10"/>
      <c r="AQ2" s="10"/>
      <c r="AR2" s="10"/>
      <c r="AS2" s="10">
        <v>0</v>
      </c>
      <c r="AT2" s="10">
        <v>0</v>
      </c>
      <c r="AU2" s="10">
        <v>0</v>
      </c>
      <c r="AV2" s="10">
        <v>0</v>
      </c>
      <c r="AW2" s="10">
        <v>0</v>
      </c>
      <c r="AX2" s="10">
        <v>0</v>
      </c>
      <c r="AY2" s="10"/>
      <c r="AZ2" s="10"/>
      <c r="BA2" s="10"/>
      <c r="BB2" s="10"/>
      <c r="BC2" s="10"/>
      <c r="BD2" s="10"/>
      <c r="BE2" s="10" t="s">
        <v>110</v>
      </c>
      <c r="BF2" s="10"/>
      <c r="BG2" s="10">
        <v>1</v>
      </c>
      <c r="BH2" s="10" t="s">
        <v>110</v>
      </c>
      <c r="BI2" s="10" t="s">
        <v>111</v>
      </c>
      <c r="BJ2" s="10">
        <v>0</v>
      </c>
      <c r="BK2" s="10" t="s">
        <v>112</v>
      </c>
      <c r="BL2" s="10" t="s">
        <v>113</v>
      </c>
      <c r="BM2" s="10" t="s">
        <v>114</v>
      </c>
      <c r="BN2" s="10">
        <v>2</v>
      </c>
      <c r="BO2" s="10">
        <v>0</v>
      </c>
      <c r="BP2" s="10" t="s">
        <v>110</v>
      </c>
      <c r="BQ2" s="10">
        <v>20251216</v>
      </c>
      <c r="BR2" s="10">
        <v>20251216</v>
      </c>
      <c r="BS2" s="10" t="s">
        <v>115</v>
      </c>
      <c r="BT2" s="10">
        <v>300</v>
      </c>
      <c r="BU2" s="10">
        <v>0</v>
      </c>
      <c r="BV2" s="10">
        <v>0</v>
      </c>
      <c r="BW2" s="10">
        <v>300</v>
      </c>
      <c r="BX2" s="12" t="s">
        <v>116</v>
      </c>
      <c r="BY2" s="10" t="s">
        <v>117</v>
      </c>
      <c r="BZ2" s="10" t="s">
        <v>91</v>
      </c>
      <c r="CA2" s="10" t="s">
        <v>92</v>
      </c>
      <c r="CB2" s="10" t="s">
        <v>90</v>
      </c>
      <c r="CC2" s="10" t="s">
        <v>105</v>
      </c>
      <c r="CD2" s="10" t="s">
        <v>106</v>
      </c>
      <c r="CE2" s="10">
        <v>15100</v>
      </c>
      <c r="CF2" s="10"/>
      <c r="CG2" s="13">
        <f t="shared" ref="CG2" si="0">CE2*0.2</f>
        <v>3020</v>
      </c>
      <c r="CH2" s="10" t="s">
        <v>118</v>
      </c>
      <c r="CI2" s="14" t="s">
        <v>119</v>
      </c>
      <c r="CJ2" s="15" t="s">
        <v>120</v>
      </c>
      <c r="CK2" s="9"/>
      <c r="CL2" s="9"/>
      <c r="CM2" s="9"/>
    </row>
    <row r="3" spans="1:91" x14ac:dyDescent="0.3">
      <c r="A3" s="16">
        <v>20260305</v>
      </c>
      <c r="B3" s="16" t="s">
        <v>121</v>
      </c>
      <c r="C3" s="16" t="s">
        <v>122</v>
      </c>
      <c r="D3" s="16" t="s">
        <v>123</v>
      </c>
      <c r="E3" s="16" t="s">
        <v>93</v>
      </c>
      <c r="F3" s="16" t="s">
        <v>124</v>
      </c>
      <c r="G3" s="16" t="s">
        <v>125</v>
      </c>
      <c r="H3" s="16" t="s">
        <v>126</v>
      </c>
      <c r="I3" s="16" t="s">
        <v>97</v>
      </c>
      <c r="J3" s="16" t="s">
        <v>98</v>
      </c>
      <c r="K3" s="16" t="s">
        <v>99</v>
      </c>
      <c r="L3" s="16" t="s">
        <v>100</v>
      </c>
      <c r="M3" s="16" t="s">
        <v>101</v>
      </c>
      <c r="N3" s="16" t="s">
        <v>101</v>
      </c>
      <c r="O3" s="16" t="s">
        <v>102</v>
      </c>
      <c r="P3" s="17">
        <v>46081.654166666667</v>
      </c>
      <c r="Q3" s="17">
        <v>46086.416666666664</v>
      </c>
      <c r="R3" s="17">
        <v>46086.444444444445</v>
      </c>
      <c r="S3" s="17">
        <v>46086.530949074076</v>
      </c>
      <c r="T3" s="16" t="s">
        <v>127</v>
      </c>
      <c r="U3" s="16" t="s">
        <v>128</v>
      </c>
      <c r="V3" s="16" t="s">
        <v>128</v>
      </c>
      <c r="W3" s="16" t="s">
        <v>129</v>
      </c>
      <c r="X3" s="16" t="s">
        <v>130</v>
      </c>
      <c r="Y3" s="16"/>
      <c r="Z3" s="16" t="s">
        <v>131</v>
      </c>
      <c r="AA3" s="16"/>
      <c r="AB3" s="16">
        <v>20240401</v>
      </c>
      <c r="AC3" s="16">
        <v>20240825</v>
      </c>
      <c r="AD3" s="16">
        <v>275</v>
      </c>
      <c r="AE3" s="16">
        <v>0</v>
      </c>
      <c r="AF3" s="16">
        <v>0</v>
      </c>
      <c r="AG3" s="16">
        <v>275</v>
      </c>
      <c r="AH3" s="16"/>
      <c r="AI3" s="16"/>
      <c r="AJ3" s="16"/>
      <c r="AK3" s="16">
        <v>8319870405</v>
      </c>
      <c r="AL3" s="16" t="s">
        <v>108</v>
      </c>
      <c r="AM3" s="16"/>
      <c r="AN3" s="16"/>
      <c r="AO3" s="16" t="s">
        <v>132</v>
      </c>
      <c r="AP3" s="16"/>
      <c r="AQ3" s="16"/>
      <c r="AR3" s="16"/>
      <c r="AS3" s="16">
        <v>0</v>
      </c>
      <c r="AT3" s="16">
        <v>0</v>
      </c>
      <c r="AU3" s="16">
        <v>0</v>
      </c>
      <c r="AV3" s="16">
        <v>0</v>
      </c>
      <c r="AW3" s="16">
        <v>0</v>
      </c>
      <c r="AX3" s="16">
        <v>0</v>
      </c>
      <c r="AY3" s="16"/>
      <c r="AZ3" s="16"/>
      <c r="BA3" s="16"/>
      <c r="BB3" s="16"/>
      <c r="BC3" s="16"/>
      <c r="BD3" s="16"/>
      <c r="BE3" s="16" t="s">
        <v>110</v>
      </c>
      <c r="BF3" s="16"/>
      <c r="BG3" s="16">
        <v>1</v>
      </c>
      <c r="BH3" s="16" t="s">
        <v>110</v>
      </c>
      <c r="BI3" s="16" t="s">
        <v>111</v>
      </c>
      <c r="BJ3" s="16">
        <v>0</v>
      </c>
      <c r="BK3" s="16" t="s">
        <v>112</v>
      </c>
      <c r="BL3" s="16" t="s">
        <v>113</v>
      </c>
      <c r="BM3" s="16" t="s">
        <v>133</v>
      </c>
      <c r="BN3" s="16">
        <v>6</v>
      </c>
      <c r="BO3" s="16">
        <v>0</v>
      </c>
      <c r="BP3" s="16" t="s">
        <v>110</v>
      </c>
      <c r="BQ3" s="16">
        <v>20260305</v>
      </c>
      <c r="BR3" s="16">
        <v>20260301</v>
      </c>
      <c r="BS3" s="16" t="s">
        <v>134</v>
      </c>
      <c r="BT3" s="16">
        <v>275</v>
      </c>
      <c r="BU3" s="16">
        <v>0</v>
      </c>
      <c r="BV3" s="16">
        <v>0</v>
      </c>
      <c r="BW3" s="16">
        <v>275</v>
      </c>
      <c r="BX3" s="16" t="s">
        <v>116</v>
      </c>
      <c r="BY3" s="16" t="s">
        <v>135</v>
      </c>
      <c r="BZ3" s="16" t="s">
        <v>122</v>
      </c>
      <c r="CA3" s="16" t="s">
        <v>136</v>
      </c>
      <c r="CB3" s="16" t="s">
        <v>121</v>
      </c>
      <c r="CC3" s="16" t="s">
        <v>137</v>
      </c>
      <c r="CD3" s="16" t="s">
        <v>138</v>
      </c>
      <c r="CE3" s="16">
        <v>2520</v>
      </c>
      <c r="CF3" s="16"/>
      <c r="CG3" s="18">
        <f>CE3*0.2</f>
        <v>504</v>
      </c>
      <c r="CH3" s="16" t="s">
        <v>118</v>
      </c>
      <c r="CI3" s="9"/>
      <c r="CJ3" s="15" t="s">
        <v>120</v>
      </c>
      <c r="CK3" s="19">
        <v>46082</v>
      </c>
      <c r="CL3" s="9" t="s">
        <v>139</v>
      </c>
      <c r="CM3" s="9"/>
    </row>
    <row r="4" spans="1:91" x14ac:dyDescent="0.3">
      <c r="A4" s="16">
        <v>20260311</v>
      </c>
      <c r="B4" s="16" t="s">
        <v>121</v>
      </c>
      <c r="C4" s="16" t="s">
        <v>122</v>
      </c>
      <c r="D4" s="16" t="s">
        <v>123</v>
      </c>
      <c r="E4" s="16" t="s">
        <v>93</v>
      </c>
      <c r="F4" s="16" t="s">
        <v>140</v>
      </c>
      <c r="G4" s="16" t="s">
        <v>141</v>
      </c>
      <c r="H4" s="16" t="s">
        <v>142</v>
      </c>
      <c r="I4" s="16" t="s">
        <v>97</v>
      </c>
      <c r="J4" s="16" t="s">
        <v>98</v>
      </c>
      <c r="K4" s="16" t="s">
        <v>99</v>
      </c>
      <c r="L4" s="16" t="s">
        <v>100</v>
      </c>
      <c r="M4" s="16" t="s">
        <v>101</v>
      </c>
      <c r="N4" s="16" t="s">
        <v>101</v>
      </c>
      <c r="O4" s="16" t="s">
        <v>102</v>
      </c>
      <c r="P4" s="17">
        <v>46092.701388888891</v>
      </c>
      <c r="Q4" s="17">
        <v>46092.791666666664</v>
      </c>
      <c r="R4" s="17">
        <v>46092.819444444445</v>
      </c>
      <c r="S4" s="17"/>
      <c r="T4" s="16" t="s">
        <v>143</v>
      </c>
      <c r="U4" s="16" t="s">
        <v>144</v>
      </c>
      <c r="V4" s="16" t="s">
        <v>144</v>
      </c>
      <c r="W4" s="16" t="s">
        <v>145</v>
      </c>
      <c r="X4" s="16" t="s">
        <v>146</v>
      </c>
      <c r="Y4" s="16"/>
      <c r="Z4" s="16" t="s">
        <v>147</v>
      </c>
      <c r="AA4" s="16"/>
      <c r="AB4" s="16">
        <v>20230601</v>
      </c>
      <c r="AC4" s="16">
        <v>20240409</v>
      </c>
      <c r="AD4" s="16">
        <v>430</v>
      </c>
      <c r="AE4" s="16">
        <v>0</v>
      </c>
      <c r="AF4" s="16">
        <v>0</v>
      </c>
      <c r="AG4" s="16">
        <v>430</v>
      </c>
      <c r="AH4" s="16"/>
      <c r="AI4" s="16"/>
      <c r="AJ4" s="16"/>
      <c r="AK4" s="16">
        <v>9893762883</v>
      </c>
      <c r="AL4" s="16" t="s">
        <v>108</v>
      </c>
      <c r="AM4" s="16"/>
      <c r="AN4" s="16"/>
      <c r="AO4" s="16" t="s">
        <v>148</v>
      </c>
      <c r="AP4" s="16"/>
      <c r="AQ4" s="16"/>
      <c r="AR4" s="16"/>
      <c r="AS4" s="16">
        <v>0</v>
      </c>
      <c r="AT4" s="16">
        <v>0</v>
      </c>
      <c r="AU4" s="16">
        <v>0</v>
      </c>
      <c r="AV4" s="16">
        <v>0</v>
      </c>
      <c r="AW4" s="16">
        <v>0</v>
      </c>
      <c r="AX4" s="16">
        <v>0</v>
      </c>
      <c r="AY4" s="16"/>
      <c r="AZ4" s="16"/>
      <c r="BA4" s="16"/>
      <c r="BB4" s="16"/>
      <c r="BC4" s="16"/>
      <c r="BD4" s="16"/>
      <c r="BE4" s="16" t="s">
        <v>110</v>
      </c>
      <c r="BF4" s="16"/>
      <c r="BG4" s="16">
        <v>1</v>
      </c>
      <c r="BH4" s="16" t="s">
        <v>110</v>
      </c>
      <c r="BI4" s="16" t="s">
        <v>149</v>
      </c>
      <c r="BJ4" s="16">
        <v>0</v>
      </c>
      <c r="BK4" s="16" t="s">
        <v>112</v>
      </c>
      <c r="BL4" s="16" t="s">
        <v>150</v>
      </c>
      <c r="BM4" s="16" t="s">
        <v>114</v>
      </c>
      <c r="BN4" s="16">
        <v>1</v>
      </c>
      <c r="BO4" s="16">
        <v>0</v>
      </c>
      <c r="BP4" s="16" t="s">
        <v>110</v>
      </c>
      <c r="BQ4" s="16">
        <v>20260311</v>
      </c>
      <c r="BR4" s="16">
        <v>20260312</v>
      </c>
      <c r="BS4" s="16" t="s">
        <v>151</v>
      </c>
      <c r="BT4" s="16">
        <v>430</v>
      </c>
      <c r="BU4" s="16">
        <v>0</v>
      </c>
      <c r="BV4" s="16">
        <v>0</v>
      </c>
      <c r="BW4" s="16">
        <v>430</v>
      </c>
      <c r="BX4" s="16" t="s">
        <v>116</v>
      </c>
      <c r="BY4" s="16" t="s">
        <v>152</v>
      </c>
      <c r="BZ4" s="16" t="s">
        <v>122</v>
      </c>
      <c r="CA4" s="16" t="s">
        <v>136</v>
      </c>
      <c r="CB4" s="16" t="s">
        <v>121</v>
      </c>
      <c r="CC4" s="16" t="s">
        <v>145</v>
      </c>
      <c r="CD4" s="16" t="s">
        <v>146</v>
      </c>
      <c r="CE4" s="16">
        <v>2520</v>
      </c>
      <c r="CF4" s="16"/>
      <c r="CG4" s="18">
        <f>CE4*0.2</f>
        <v>504</v>
      </c>
      <c r="CH4" s="16" t="s">
        <v>118</v>
      </c>
      <c r="CI4" s="9"/>
      <c r="CJ4" s="15" t="s">
        <v>120</v>
      </c>
      <c r="CK4" s="19">
        <v>46082</v>
      </c>
      <c r="CL4" s="9" t="s">
        <v>139</v>
      </c>
      <c r="CM4" s="9"/>
    </row>
    <row r="5" spans="1:91" x14ac:dyDescent="0.3">
      <c r="A5" s="16">
        <v>20260217</v>
      </c>
      <c r="B5" s="16" t="s">
        <v>121</v>
      </c>
      <c r="C5" s="16" t="s">
        <v>122</v>
      </c>
      <c r="D5" s="16" t="s">
        <v>123</v>
      </c>
      <c r="E5" s="16" t="s">
        <v>93</v>
      </c>
      <c r="F5" s="16" t="s">
        <v>153</v>
      </c>
      <c r="G5" s="16" t="s">
        <v>141</v>
      </c>
      <c r="H5" s="16" t="s">
        <v>154</v>
      </c>
      <c r="I5" s="16" t="s">
        <v>97</v>
      </c>
      <c r="J5" s="16" t="s">
        <v>98</v>
      </c>
      <c r="K5" s="16" t="s">
        <v>99</v>
      </c>
      <c r="L5" s="16" t="s">
        <v>100</v>
      </c>
      <c r="M5" s="16" t="s">
        <v>101</v>
      </c>
      <c r="N5" s="16" t="s">
        <v>101</v>
      </c>
      <c r="O5" s="16" t="s">
        <v>102</v>
      </c>
      <c r="P5" s="17">
        <v>46070.654166666667</v>
      </c>
      <c r="Q5" s="17">
        <v>46070.708333333336</v>
      </c>
      <c r="R5" s="17">
        <v>46070.736111111109</v>
      </c>
      <c r="S5" s="17"/>
      <c r="T5" s="16" t="s">
        <v>155</v>
      </c>
      <c r="U5" s="16" t="s">
        <v>156</v>
      </c>
      <c r="V5" s="16" t="s">
        <v>156</v>
      </c>
      <c r="W5" s="16" t="s">
        <v>157</v>
      </c>
      <c r="X5" s="16" t="s">
        <v>158</v>
      </c>
      <c r="Y5" s="16"/>
      <c r="Z5" s="16" t="s">
        <v>159</v>
      </c>
      <c r="AA5" s="16"/>
      <c r="AB5" s="16">
        <v>20220901</v>
      </c>
      <c r="AC5" s="16">
        <v>20230327</v>
      </c>
      <c r="AD5" s="16">
        <v>275</v>
      </c>
      <c r="AE5" s="16">
        <v>0</v>
      </c>
      <c r="AF5" s="16">
        <v>0</v>
      </c>
      <c r="AG5" s="16">
        <v>275</v>
      </c>
      <c r="AH5" s="16"/>
      <c r="AI5" s="16"/>
      <c r="AJ5" s="16"/>
      <c r="AK5" s="16">
        <v>9179973057</v>
      </c>
      <c r="AL5" s="16" t="s">
        <v>108</v>
      </c>
      <c r="AM5" s="16"/>
      <c r="AN5" s="16"/>
      <c r="AO5" s="16" t="s">
        <v>132</v>
      </c>
      <c r="AP5" s="16"/>
      <c r="AQ5" s="16"/>
      <c r="AR5" s="16"/>
      <c r="AS5" s="16">
        <v>0</v>
      </c>
      <c r="AT5" s="16">
        <v>0</v>
      </c>
      <c r="AU5" s="16">
        <v>0</v>
      </c>
      <c r="AV5" s="16">
        <v>0</v>
      </c>
      <c r="AW5" s="16">
        <v>0</v>
      </c>
      <c r="AX5" s="16">
        <v>0</v>
      </c>
      <c r="AY5" s="16"/>
      <c r="AZ5" s="16"/>
      <c r="BA5" s="16"/>
      <c r="BB5" s="16"/>
      <c r="BC5" s="16"/>
      <c r="BD5" s="16"/>
      <c r="BE5" s="16" t="s">
        <v>160</v>
      </c>
      <c r="BF5" s="16"/>
      <c r="BG5" s="16">
        <v>1</v>
      </c>
      <c r="BH5" s="16" t="s">
        <v>110</v>
      </c>
      <c r="BI5" s="16" t="s">
        <v>111</v>
      </c>
      <c r="BJ5" s="16">
        <v>0</v>
      </c>
      <c r="BK5" s="16" t="s">
        <v>112</v>
      </c>
      <c r="BL5" s="16" t="s">
        <v>150</v>
      </c>
      <c r="BM5" s="16" t="s">
        <v>114</v>
      </c>
      <c r="BN5" s="16">
        <v>1</v>
      </c>
      <c r="BO5" s="16">
        <v>0</v>
      </c>
      <c r="BP5" s="16" t="s">
        <v>110</v>
      </c>
      <c r="BQ5" s="16">
        <v>20260217</v>
      </c>
      <c r="BR5" s="16">
        <v>20260218</v>
      </c>
      <c r="BS5" s="16" t="s">
        <v>161</v>
      </c>
      <c r="BT5" s="16">
        <v>275</v>
      </c>
      <c r="BU5" s="16">
        <v>0</v>
      </c>
      <c r="BV5" s="16">
        <v>0</v>
      </c>
      <c r="BW5" s="16">
        <v>275</v>
      </c>
      <c r="BX5" s="16" t="s">
        <v>116</v>
      </c>
      <c r="BY5" s="16" t="s">
        <v>162</v>
      </c>
      <c r="BZ5" s="16" t="s">
        <v>122</v>
      </c>
      <c r="CA5" s="16" t="s">
        <v>136</v>
      </c>
      <c r="CB5" s="16" t="s">
        <v>121</v>
      </c>
      <c r="CC5" s="16" t="s">
        <v>129</v>
      </c>
      <c r="CD5" s="16" t="s">
        <v>130</v>
      </c>
      <c r="CE5" s="16">
        <v>2800</v>
      </c>
      <c r="CF5" s="16"/>
      <c r="CG5" s="18">
        <f>CE5*0.2</f>
        <v>560</v>
      </c>
      <c r="CH5" s="16" t="s">
        <v>163</v>
      </c>
      <c r="CI5" s="9"/>
      <c r="CJ5" s="15" t="s">
        <v>120</v>
      </c>
      <c r="CK5" s="19">
        <v>46082</v>
      </c>
      <c r="CL5" s="9" t="s">
        <v>139</v>
      </c>
      <c r="CM5" s="9"/>
    </row>
    <row r="6" spans="1:91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20"/>
      <c r="CH6" s="9"/>
      <c r="CI6" s="9"/>
      <c r="CJ6" s="9"/>
      <c r="CK6" s="9"/>
      <c r="CL6" s="9"/>
      <c r="CM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2026-06-03T17:28:20Z</dcterms:created>
  <dcterms:modified xsi:type="dcterms:W3CDTF">2026-06-03T17:34:02Z</dcterms:modified>
</cp:coreProperties>
</file>